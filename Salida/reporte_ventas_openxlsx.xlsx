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orte_Venta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<sst xmlns="http://schemas.openxmlformats.org/spreadsheetml/2006/main" count="22" uniqueCount="22">
  <si>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REPORTE DE VENTAS - CIERRE MES</t>
  </si>
  <si>
    <t xml:space="preserve">Generado el 01/09/2026</t>
  </si>
  <si>
    <t xml:space="preserve">Producto</t>
  </si>
  <si>
    <t xml:space="preserve">Categoría</t>
  </si>
  <si>
    <t xml:space="preserve">Unidades</t>
  </si>
  <si>
    <t xml:space="preserve">Precio Unitario</t>
  </si>
  <si>
    <t xml:space="preserve">Meta Unidades</t>
  </si>
  <si>
    <t xml:space="preserve">Total Venta</t>
  </si>
  <si>
    <t xml:space="preserve">% del Total</t>
  </si>
  <si>
    <t xml:space="preserve">Cumplimiento Meta</t>
  </si>
  <si>
    <t xml:space="preserve">Laptop X1</t>
  </si>
  <si>
    <t xml:space="preserve">Computo</t>
  </si>
  <si>
    <t xml:space="preserve">Mouse óptico</t>
  </si>
  <si>
    <t xml:space="preserve">Accesorios</t>
  </si>
  <si>
    <t xml:space="preserve">Teclado Meca</t>
  </si>
  <si>
    <t xml:space="preserve">Monitor 27''</t>
  </si>
  <si>
    <t xml:space="preserve">Impresora L</t>
  </si>
  <si>
    <t xml:space="preserve">Oficina</t>
  </si>
  <si>
    <t xml:space="preserve">Silla Ergo</t>
  </si>
  <si>
    <t xml:space="preserve">Cámara Web</t>
  </si>
  <si>
    <t xml:space="preserve">Audifonos BT</t>
  </si>
  <si>
    <t xml:space="preserve"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</si>
</sst>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.0"/>
    <numFmt numFmtId="168" formatCode="0.0%"/>
  </numFmts>
  <fonts count="6">
    <font>
      <sz val="11"/>
      <color rgb="FF000000"/>
      <name val="Calibri"/>
      <family val="2"/>
      <scheme val="minor"/>
    </font>
    <font>
      <sz val="18"/>
      <color rgb="FFFFFFFF"/>
      <name val="Arial"/>
      <b/>
    </font>
    <font>
      <sz val="10"/>
      <color rgb="FF555555"/>
      <name val="Arial"/>
      <i/>
    </font>
    <font>
      <sz val="11"/>
      <color rgb="FFFFFFFF"/>
      <name val="Arial"/>
      <b/>
    </font>
    <font>
      <sz val="11"/>
      <color rgb="FF000000"/>
      <name val="Arial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166" fontId="4" fillId="4" borderId="1" xfId="0" applyFont="1" applyNumberFormat="1" applyFill="1" applyBorder="1"/>
    <xf numFmtId="167" fontId="4" fillId="4" borderId="1" xfId="0" applyFont="1" applyNumberFormat="1" applyFill="1" applyBorder="1"/>
    <xf numFmtId="168" fontId="4" fillId="4" borderId="1" xfId="0" applyFont="1" applyNumberFormat="1" applyFill="1" applyBorder="1"/>
    <xf numFmtId="166" fontId="5" fillId="0" borderId="2" xfId="0" applyFont="1" applyNumberFormat="1" applyBorder="1"/>
    <xf numFmtId="167" fontId="5" fillId="0" borderId="2" xfId="0" applyFont="1" applyNumberFormat="1" applyBorder="1"/>
    <xf numFmtId="168" fontId="5" fillId="0" borderId="2" xfId="0" applyFont="1" applyNumberFormat="1" applyBorder="1"/>
    <xf numFmtId="0" fontId="5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3" ht="26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>
      <c r="A4" s="11" t="s">
        <v>10</v>
      </c>
      <c r="B4" s="11" t="s">
        <v>11</v>
      </c>
      <c r="C4" s="8" t="n">
        <v>120</v>
      </c>
      <c r="D4" s="9" t="n">
        <v>15800</v>
      </c>
      <c r="E4" s="8" t="n">
        <v>150</v>
      </c>
      <c r="F4" s="9" t="str">
        <f>C4*D4</f>
      </c>
      <c r="G4" s="10" t="str">
        <f>F4/SUM(F$4:F$11)</f>
      </c>
      <c r="H4" s="10" t="str">
        <f>C4/E4</f>
      </c>
    </row>
    <row r="5">
      <c r="A5" s="11" t="s">
        <v>12</v>
      </c>
      <c r="B5" s="11" t="s">
        <v>13</v>
      </c>
      <c r="C5" s="8" t="n">
        <v>480</v>
      </c>
      <c r="D5" s="9" t="n">
        <v>250</v>
      </c>
      <c r="E5" s="8" t="n">
        <v>400</v>
      </c>
      <c r="F5" s="9" t="str">
        <f>C5*D5</f>
      </c>
      <c r="G5" s="10" t="str">
        <f>F5/SUM(F$4:F$11)</f>
      </c>
      <c r="H5" s="10" t="str">
        <f>C5/E5</f>
      </c>
    </row>
    <row r="6">
      <c r="A6" s="11" t="s">
        <v>14</v>
      </c>
      <c r="B6" s="11" t="s">
        <v>13</v>
      </c>
      <c r="C6" s="8" t="n">
        <v>210</v>
      </c>
      <c r="D6" s="9" t="n">
        <v>890</v>
      </c>
      <c r="E6" s="8" t="n">
        <v>200</v>
      </c>
      <c r="F6" s="9" t="str">
        <f>C6*D6</f>
      </c>
      <c r="G6" s="10" t="str">
        <f>F6/SUM(F$4:F$11)</f>
      </c>
      <c r="H6" s="10" t="str">
        <f>C6/E6</f>
      </c>
    </row>
    <row r="7">
      <c r="A7" s="11" t="s">
        <v>15</v>
      </c>
      <c r="B7" s="11" t="s">
        <v>11</v>
      </c>
      <c r="C7" s="8" t="n">
        <v>95</v>
      </c>
      <c r="D7" s="9" t="n">
        <v>4200</v>
      </c>
      <c r="E7" s="8" t="n">
        <v>100</v>
      </c>
      <c r="F7" s="9" t="str">
        <f>C7*D7</f>
      </c>
      <c r="G7" s="10" t="str">
        <f>F7/SUM(F$4:F$11)</f>
      </c>
      <c r="H7" s="10" t="str">
        <f>C7/E7</f>
      </c>
    </row>
    <row r="8">
      <c r="A8" s="11" t="s">
        <v>16</v>
      </c>
      <c r="B8" s="11" t="s">
        <v>17</v>
      </c>
      <c r="C8" s="8" t="n">
        <v>60</v>
      </c>
      <c r="D8" s="9" t="n">
        <v>3100</v>
      </c>
      <c r="E8" s="8" t="n">
        <v>80</v>
      </c>
      <c r="F8" s="9" t="str">
        <f>C8*D8</f>
      </c>
      <c r="G8" s="10" t="str">
        <f>F8/SUM(F$4:F$11)</f>
      </c>
      <c r="H8" s="10" t="str">
        <f>C8/E8</f>
      </c>
    </row>
    <row r="9">
      <c r="A9" s="11" t="s">
        <v>18</v>
      </c>
      <c r="B9" s="11" t="s">
        <v>17</v>
      </c>
      <c r="C9" s="8" t="n">
        <v>40</v>
      </c>
      <c r="D9" s="9" t="n">
        <v>2650</v>
      </c>
      <c r="E9" s="8" t="n">
        <v>50</v>
      </c>
      <c r="F9" s="9" t="str">
        <f>C9*D9</f>
      </c>
      <c r="G9" s="10" t="str">
        <f>F9/SUM(F$4:F$11)</f>
      </c>
      <c r="H9" s="10" t="str">
        <f>C9/E9</f>
      </c>
    </row>
    <row r="10">
      <c r="A10" s="11" t="s">
        <v>19</v>
      </c>
      <c r="B10" s="11" t="s">
        <v>13</v>
      </c>
      <c r="C10" s="8" t="n">
        <v>300</v>
      </c>
      <c r="D10" s="9" t="n">
        <v>480</v>
      </c>
      <c r="E10" s="8" t="n">
        <v>250</v>
      </c>
      <c r="F10" s="9" t="str">
        <f>C10*D10</f>
      </c>
      <c r="G10" s="10" t="str">
        <f>F10/SUM(F$4:F$11)</f>
      </c>
      <c r="H10" s="10" t="str">
        <f>C10/E10</f>
      </c>
    </row>
    <row r="11">
      <c r="A11" s="11" t="s">
        <v>20</v>
      </c>
      <c r="B11" s="11" t="s">
        <v>13</v>
      </c>
      <c r="C11" s="8" t="n">
        <v>275</v>
      </c>
      <c r="D11" s="9" t="n">
        <v>690</v>
      </c>
      <c r="E11" s="8" t="n">
        <v>300</v>
      </c>
      <c r="F11" s="9" t="str">
        <f>C11*D11</f>
      </c>
      <c r="G11" s="10" t="str">
        <f>F11/SUM(F$4:F$11)</f>
      </c>
      <c r="H11" s="10" t="str">
        <f>C11/E11</f>
      </c>
    </row>
    <row r="12">
      <c r="A12" s="4" t="s">
        <v>21</v>
      </c>
      <c r="B12" s="4"/>
      <c r="C12" s="5" t="str">
        <f>SUM(C4:C11)</f>
      </c>
      <c r="D12" s="6"/>
      <c r="E12" s="5"/>
      <c r="F12" s="6" t="str">
        <f>SUM(F4:F11)</f>
      </c>
      <c r="G12" s="7" t="str">
        <f>SUM(G4:G11)</f>
      </c>
      <c r="H12" s="7" t="str">
        <f>AVERAGE(H4:H11)</f>
      </c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alexi</dc:creator>
  <cp:lastModifiedBy>alexi</cp:lastModifiedBy>
  <dcterms:created xsi:type="dcterms:W3CDTF">2026-09-02T02:59:37Z</dcterms:created>
</coreProperties>
</file>