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porte_Ventas" sheetId="1" state="visible" r:id="rId1"/>
  </sheets>
  <definedNames>
    <definedName name="_xlnm.Print_Titles" localSheetId="0">'Reporte_Ventas'!$3:$3</definedName>
    <definedName name="_xlnm.Print_Area">'Reporte_Ventas'!$A$1:$H$14</definedName>
  </definedNames>
</workbook>
</file>

<file path=xl/sharedStrings.xml><?xml version="1.0" encoding="utf-8"?>
<sst xmlns="http://schemas.openxmlformats.org/spreadsheetml/2006/main" count="23" uniqueCount="23">
  <si>
    <t xml:space="preserve">REPORTE DE VENTAS - CIERRE MES</t>
  </si>
  <si>
    <t xml:space="preserve">Generado el 01/09/2026</t>
  </si>
  <si>
    <t xml:space="preserve">Producto</t>
  </si>
  <si>
    <t xml:space="preserve">Categoría</t>
  </si>
  <si>
    <t xml:space="preserve">Unidades</t>
  </si>
  <si>
    <t xml:space="preserve">Precio Unitario</t>
  </si>
  <si>
    <t xml:space="preserve">Meta Unidades</t>
  </si>
  <si>
    <t xml:space="preserve">Total Venta</t>
  </si>
  <si>
    <t xml:space="preserve">% del Total</t>
  </si>
  <si>
    <t xml:space="preserve">Cumplimiento Meta</t>
  </si>
  <si>
    <t xml:space="preserve">Laptop X1</t>
  </si>
  <si>
    <t xml:space="preserve">Computo</t>
  </si>
  <si>
    <t xml:space="preserve">Mouse óptico</t>
  </si>
  <si>
    <t xml:space="preserve">Accesorios</t>
  </si>
  <si>
    <t xml:space="preserve">Teclado Meca</t>
  </si>
  <si>
    <t xml:space="preserve">Monitor 27''</t>
  </si>
  <si>
    <t xml:space="preserve">Impresora L</t>
  </si>
  <si>
    <t xml:space="preserve">Oficina</t>
  </si>
  <si>
    <t xml:space="preserve">Silla Ergo</t>
  </si>
  <si>
    <t xml:space="preserve">Cámara Web</t>
  </si>
  <si>
    <t xml:space="preserve">Audifonos BT</t>
  </si>
  <si>
    <t xml:space="preserve">TOTALES</t>
  </si>
  <si>
    <t xml:space="preserve">Nota: Cumplimiento de Meta = Unidades vendidas / Meta de unidades. Fuente: sistema interno de ventas.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</si>
</sst>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6" formatCode="#,##0"/>
    <numFmt numFmtId="167" formatCode="$#,##0.0"/>
    <numFmt numFmtId="168" formatCode="0.0%"/>
  </numFmts>
  <fonts count="7">
    <font>
      <sz val="11"/>
      <color rgb="FF000000"/>
      <name val="Calibri"/>
      <family val="2"/>
      <scheme val="minor"/>
    </font>
    <font>
      <sz val="18"/>
      <color rgb="FFFFFFFF"/>
      <name val="Arial"/>
      <b/>
    </font>
    <font>
      <sz val="10"/>
      <color rgb="FF555555"/>
      <name val="Arial"/>
      <i/>
    </font>
    <font>
      <sz val="11"/>
      <color rgb="FFFFFFFF"/>
      <name val="Arial"/>
      <b/>
    </font>
    <font>
      <sz val="11"/>
      <color rgb="FF000000"/>
      <name val="Arial"/>
      <b/>
    </font>
    <font>
      <sz val="11"/>
      <color rgb="FF000000"/>
      <name val="Calibri"/>
    </font>
    <font>
      <sz val="9"/>
      <color rgb="FF000000"/>
      <name val="Arial"/>
      <i/>
    </font>
  </fonts>
  <fills count="5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2E75B6"/>
      </patternFill>
    </fill>
    <fill>
      <patternFill patternType="solid">
        <fgColor rgb="FFD9E1F2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0" xfId="0" applyFont="1" applyAlignment="1">
      <alignment horizontal="center"/>
    </xf>
    <xf numFmtId="0" fontId="3" fillId="3" borderId="1" xfId="0" applyFont="1" applyFill="1" applyBorder="1" applyAlignment="1">
      <alignment horizontal="center" vertical="center" wrapText="1"/>
    </xf>
    <xf numFmtId="0" fontId="4" fillId="4" borderId="1" xfId="0" applyFont="1" applyFill="1" applyBorder="1"/>
    <xf numFmtId="166" fontId="4" fillId="4" borderId="1" xfId="0" applyFont="1" applyNumberFormat="1" applyFill="1" applyBorder="1"/>
    <xf numFmtId="167" fontId="4" fillId="4" borderId="1" xfId="0" applyFont="1" applyNumberFormat="1" applyFill="1" applyBorder="1"/>
    <xf numFmtId="168" fontId="4" fillId="4" borderId="1" xfId="0" applyFont="1" applyNumberFormat="1" applyFill="1" applyBorder="1"/>
    <xf numFmtId="166" fontId="5" fillId="0" borderId="2" xfId="0" applyFont="1" applyNumberFormat="1" applyBorder="1"/>
    <xf numFmtId="167" fontId="5" fillId="0" borderId="2" xfId="0" applyFont="1" applyNumberFormat="1" applyBorder="1"/>
    <xf numFmtId="168" fontId="5" fillId="0" borderId="2" xfId="0" applyFont="1" applyNumberFormat="1" applyBorder="1"/>
    <xf numFmtId="0" fontId="5" fillId="0" borderId="2" xfId="0" applyFont="1" applyBorder="1"/>
    <xf numFmtId="0" fontId="6" fillId="0" borderId="0" xfId="0" applyFont="1"/>
  </cellXfs>
  <cellStyles count="1">
    <cellStyle name="Normal" xfId="0" builtinId="0"/>
  </cellStyles>
  <dxfs count="3">
    <dxf>
      <font>
        <sz val="11"/>
        <color rgb="FF9C0006"/>
        <name val="Calibri"/>
      </font>
      <fill>
        <patternFill patternType="solid">
          <bgColor rgb="FFFFC7CE"/>
        </patternFill>
      </fill>
    </dxf>
    <dxf>
      <font>
        <sz val="11"/>
        <color rgb="FF9C6500"/>
        <name val="Calibri"/>
      </font>
      <fill>
        <patternFill patternType="solid">
          <bgColor rgb="FFFFEB9C"/>
        </patternFill>
      </fill>
    </dxf>
    <dxf>
      <font>
        <sz val="11"/>
        <color rgb="FF006100"/>
        <name val="Calibri"/>
      </font>
      <fill>
        <patternFill patternType="solid">
          <bgColor rgb="FFC6EFCE"/>
        </patternFill>
      </fill>
    </dxf>
  </d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pageSetUpPr fitToPage="1"/>
  </sheetPr>
  <dimension ref="A1"/>
  <sheetViews>
    <sheetView workbookViewId="0" zoomScale="100" showGridLines="0" tabSelected="true">
      <pane ySplit="3" xSplit="1" topLeftCell="B4" activePane="bottomRight" state="frozen"/>
      <selection pane="bottomRight"/>
    </sheetView>
  </sheetViews>
  <sheetFormatPr defaultRowHeight="15.0" baseColWidth="10"/>
  <cols>
    <col min="1" max="1" width="18.71" hidden="0" customWidth="1"/>
    <col min="2" max="2" width="14.71" hidden="0" customWidth="1"/>
    <col min="3" max="3" width="11.71" hidden="0" customWidth="1"/>
    <col min="4" max="4" width="15.71" hidden="0" customWidth="1"/>
    <col min="5" max="5" width="13.71" hidden="0" customWidth="1"/>
    <col min="6" max="6" width="14.71" hidden="0" customWidth="1"/>
    <col min="7" max="7" width="12.71" hidden="0" customWidth="1"/>
    <col min="8" max="8" width="16.71" hidden="0" customWidth="1"/>
  </cols>
  <sheetData>
    <row r="1" ht="30" customHeight="1">
      <c r="A1" s="1" t="s">
        <v>0</v>
      </c>
      <c r="B1" s="1"/>
      <c r="C1" s="1"/>
      <c r="D1" s="1"/>
      <c r="E1" s="1"/>
      <c r="F1" s="1"/>
      <c r="G1" s="1"/>
      <c r="H1" s="1"/>
    </row>
    <row r="2">
      <c r="A2" s="2" t="s">
        <v>1</v>
      </c>
      <c r="B2" s="2"/>
      <c r="C2" s="2"/>
      <c r="D2" s="2"/>
      <c r="E2" s="2"/>
      <c r="F2" s="2"/>
      <c r="G2" s="2"/>
      <c r="H2" s="2"/>
    </row>
    <row r="3" ht="26" customHeight="1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  <c r="H3" s="3" t="s">
        <v>9</v>
      </c>
    </row>
    <row r="4">
      <c r="A4" s="11" t="s">
        <v>10</v>
      </c>
      <c r="B4" s="11" t="s">
        <v>11</v>
      </c>
      <c r="C4" s="8" t="n">
        <v>120</v>
      </c>
      <c r="D4" s="9" t="n">
        <v>15800</v>
      </c>
      <c r="E4" s="8" t="n">
        <v>150</v>
      </c>
      <c r="F4" s="9" t="str">
        <f>C4*D4</f>
      </c>
      <c r="G4" s="10" t="str">
        <f>F4/SUM(F$4:F$11)</f>
      </c>
      <c r="H4" s="10" t="str">
        <f>C4/E4</f>
      </c>
    </row>
    <row r="5">
      <c r="A5" s="11" t="s">
        <v>12</v>
      </c>
      <c r="B5" s="11" t="s">
        <v>13</v>
      </c>
      <c r="C5" s="8" t="n">
        <v>480</v>
      </c>
      <c r="D5" s="9" t="n">
        <v>250</v>
      </c>
      <c r="E5" s="8" t="n">
        <v>400</v>
      </c>
      <c r="F5" s="9" t="str">
        <f>C5*D5</f>
      </c>
      <c r="G5" s="10" t="str">
        <f>F5/SUM(F$4:F$11)</f>
      </c>
      <c r="H5" s="10" t="str">
        <f>C5/E5</f>
      </c>
    </row>
    <row r="6">
      <c r="A6" s="11" t="s">
        <v>14</v>
      </c>
      <c r="B6" s="11" t="s">
        <v>13</v>
      </c>
      <c r="C6" s="8" t="n">
        <v>210</v>
      </c>
      <c r="D6" s="9" t="n">
        <v>890</v>
      </c>
      <c r="E6" s="8" t="n">
        <v>200</v>
      </c>
      <c r="F6" s="9" t="str">
        <f>C6*D6</f>
      </c>
      <c r="G6" s="10" t="str">
        <f>F6/SUM(F$4:F$11)</f>
      </c>
      <c r="H6" s="10" t="str">
        <f>C6/E6</f>
      </c>
    </row>
    <row r="7">
      <c r="A7" s="11" t="s">
        <v>15</v>
      </c>
      <c r="B7" s="11" t="s">
        <v>11</v>
      </c>
      <c r="C7" s="8" t="n">
        <v>95</v>
      </c>
      <c r="D7" s="9" t="n">
        <v>4200</v>
      </c>
      <c r="E7" s="8" t="n">
        <v>100</v>
      </c>
      <c r="F7" s="9" t="str">
        <f>C7*D7</f>
      </c>
      <c r="G7" s="10" t="str">
        <f>F7/SUM(F$4:F$11)</f>
      </c>
      <c r="H7" s="10" t="str">
        <f>C7/E7</f>
      </c>
    </row>
    <row r="8">
      <c r="A8" s="11" t="s">
        <v>16</v>
      </c>
      <c r="B8" s="11" t="s">
        <v>17</v>
      </c>
      <c r="C8" s="8" t="n">
        <v>60</v>
      </c>
      <c r="D8" s="9" t="n">
        <v>3100</v>
      </c>
      <c r="E8" s="8" t="n">
        <v>80</v>
      </c>
      <c r="F8" s="9" t="str">
        <f>C8*D8</f>
      </c>
      <c r="G8" s="10" t="str">
        <f>F8/SUM(F$4:F$11)</f>
      </c>
      <c r="H8" s="10" t="str">
        <f>C8/E8</f>
      </c>
    </row>
    <row r="9">
      <c r="A9" s="11" t="s">
        <v>18</v>
      </c>
      <c r="B9" s="11" t="s">
        <v>17</v>
      </c>
      <c r="C9" s="8" t="n">
        <v>40</v>
      </c>
      <c r="D9" s="9" t="n">
        <v>2650</v>
      </c>
      <c r="E9" s="8" t="n">
        <v>50</v>
      </c>
      <c r="F9" s="9" t="str">
        <f>C9*D9</f>
      </c>
      <c r="G9" s="10" t="str">
        <f>F9/SUM(F$4:F$11)</f>
      </c>
      <c r="H9" s="10" t="str">
        <f>C9/E9</f>
      </c>
    </row>
    <row r="10">
      <c r="A10" s="11" t="s">
        <v>19</v>
      </c>
      <c r="B10" s="11" t="s">
        <v>13</v>
      </c>
      <c r="C10" s="8" t="n">
        <v>300</v>
      </c>
      <c r="D10" s="9" t="n">
        <v>480</v>
      </c>
      <c r="E10" s="8" t="n">
        <v>250</v>
      </c>
      <c r="F10" s="9" t="str">
        <f>C10*D10</f>
      </c>
      <c r="G10" s="10" t="str">
        <f>F10/SUM(F$4:F$11)</f>
      </c>
      <c r="H10" s="10" t="str">
        <f>C10/E10</f>
      </c>
    </row>
    <row r="11">
      <c r="A11" s="11" t="s">
        <v>20</v>
      </c>
      <c r="B11" s="11" t="s">
        <v>13</v>
      </c>
      <c r="C11" s="8" t="n">
        <v>275</v>
      </c>
      <c r="D11" s="9" t="n">
        <v>690</v>
      </c>
      <c r="E11" s="8" t="n">
        <v>300</v>
      </c>
      <c r="F11" s="9" t="str">
        <f>C11*D11</f>
      </c>
      <c r="G11" s="10" t="str">
        <f>F11/SUM(F$4:F$11)</f>
      </c>
      <c r="H11" s="10" t="str">
        <f>C11/E11</f>
      </c>
    </row>
    <row r="12">
      <c r="A12" s="4" t="s">
        <v>21</v>
      </c>
      <c r="B12" s="4"/>
      <c r="C12" s="5" t="str">
        <f>SUM(C4:C11)</f>
      </c>
      <c r="D12" s="6"/>
      <c r="E12" s="5"/>
      <c r="F12" s="6" t="str">
        <f>SUM(F4:F11)</f>
      </c>
      <c r="G12" s="7" t="str">
        <f>SUM(G4:G11)</f>
      </c>
      <c r="H12" s="7" t="str">
        <f>AVERAGE(H4:H11)</f>
      </c>
    </row>
    <row r="14">
      <c r="A14" s="12" t="s">
        <v>22</v>
      </c>
      <c r="B14" s="12"/>
      <c r="C14" s="12"/>
      <c r="D14" s="12"/>
      <c r="E14" s="12"/>
      <c r="F14" s="12"/>
      <c r="G14" s="12"/>
      <c r="H14" s="12"/>
    </row>
  </sheetData>
  <autoFilter ref="A3:H3"/>
  <mergeCells count="3">
    <mergeCell ref="A1:H1"/>
    <mergeCell ref="A2:H2"/>
    <mergeCell ref="A14:H14"/>
  </mergeCells>
  <conditionalFormatting sqref="G4:G11">
    <cfRule type="colorScale" priority="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H4:H11">
    <cfRule type="expression" dxfId="0" priority="3">
      <formula>H4&lt;0.9</formula>
    </cfRule>
    <cfRule type="expression" dxfId="1" priority="2">
      <formula>H4&gt;=0.9</formula>
    </cfRule>
    <cfRule type="expression" dxfId="2" priority="1">
      <formula>H4&gt;=1</formula>
    </cfRule>
  </conditionalFormatting>
  <pageMargins left="0.5" right="0.5" top="0.75" bottom="0.75" header="0.3" footer="0.3"/>
  <pageSetup paperSize="9" orientation="landscape" scale="100" fitToWidth="1" fitToHeight="0" horizontalDpi="300" verticalDpi="300" r:id="rId2"/>
  <headerFooter differentOddEven="0" differentFirst="0" scaleWithDoc="0" alignWithMargins="0">
    <oddHeader>&amp;CReporte de Ventas</oddHeader>
    <oddFooter>&amp;LConfidencial&amp;RPagina &amp;P de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alexi</dc:creator>
  <cp:lastModifiedBy>alexi</cp:lastModifiedBy>
  <dcterms:created xsi:type="dcterms:W3CDTF">2026-09-02T04:00:02Z</dcterms:created>
</coreProperties>
</file>